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in (All in One)" sheetId="1" state="visible" r:id="rId1"/>
    <sheet name="Last Year Data" sheetId="2" state="visible" r:id="rId2"/>
    <sheet name="Current Year Data" sheetId="3" state="visible" r:id="rId3"/>
    <sheet name="All Predictio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</font>
    <font>
      <b val="1"/>
      <sz val="13"/>
    </font>
  </fonts>
  <fills count="7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D9E1F2"/>
        <bgColor rgb="00D9E1F2"/>
      </patternFill>
    </fill>
    <fill>
      <patternFill patternType="solid">
        <fgColor rgb="00FFF2CC"/>
        <bgColor rgb="00FFF2CC"/>
      </patternFill>
    </fill>
    <fill>
      <patternFill patternType="solid">
        <fgColor rgb="00E2F0D9"/>
        <bgColor rgb="00E2F0D9"/>
      </patternFill>
    </fill>
    <fill>
      <patternFill patternType="solid">
        <fgColor rgb="00F8CBAD"/>
        <bgColor rgb="00F8CBAD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3" borderId="1" pivotButton="0" quotePrefix="0" xfId="0"/>
    <xf numFmtId="0" fontId="0" fillId="4" borderId="1" applyProtection="1" pivotButton="0" quotePrefix="0" xfId="0">
      <protection locked="0" hidden="0"/>
    </xf>
    <xf numFmtId="10" fontId="0" fillId="4" borderId="1" applyProtection="1" pivotButton="0" quotePrefix="0" xfId="0">
      <protection locked="0" hidden="0"/>
    </xf>
    <xf numFmtId="4" fontId="0" fillId="4" borderId="1" applyProtection="1" pivotButton="0" quotePrefix="0" xfId="0">
      <protection locked="0" hidden="0"/>
    </xf>
    <xf numFmtId="4" fontId="0" fillId="5" borderId="1" pivotButton="0" quotePrefix="0" xfId="0"/>
    <xf numFmtId="4" fontId="0" fillId="6" borderId="1" pivotButton="0" quotePrefix="0" xfId="0"/>
    <xf numFmtId="0" fontId="0" fillId="5" borderId="1" pivotButton="0" quotePrefix="0" xfId="0"/>
    <xf numFmtId="0" fontId="2" fillId="2" borderId="1" applyAlignment="1" pivotButton="0" quotePrefix="0" xfId="0">
      <alignment horizontal="center" vertical="center"/>
    </xf>
    <xf numFmtId="0" fontId="4" fillId="0" borderId="0" pivotButton="0" quotePrefix="0" xfId="0"/>
    <xf numFmtId="0" fontId="0" fillId="0" borderId="1" pivotButton="0" quotePrefix="0" xfId="0"/>
  </cellXfs>
  <cellStyles count="1">
    <cellStyle name="Normal" xfId="0" builtinId="0" hidden="0"/>
  </cellStyles>
  <dxfs count="1">
    <dxf>
      <fill>
        <patternFill patternType="solid">
          <fgColor rgb="00F8CBAD"/>
          <bgColor rgb="00F8CBAD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Actual vs Predicted Monthly Profit</a:t>
            </a:r>
          </a:p>
        </rich>
      </tx>
    </title>
    <plotArea>
      <lineChart>
        <grouping val="standard"/>
        <ser>
          <idx val="0"/>
          <order val="0"/>
          <tx>
            <strRef>
              <f>'All Predictions'!H10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'All Predictions'!$A$11:$A$22</f>
            </numRef>
          </cat>
          <val>
            <numRef>
              <f>'All Predictions'!$H$11:$H$22</f>
            </numRef>
          </val>
        </ser>
        <ser>
          <idx val="1"/>
          <order val="1"/>
          <tx>
            <strRef>
              <f>'All Predictions'!I10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'All Predictions'!$A$11:$A$22</f>
            </numRef>
          </cat>
          <val>
            <numRef>
              <f>'All Predictions'!$I$11:$I$22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Month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Profit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23</row>
      <rowOff>0</rowOff>
    </from>
    <ext cx="4680000" cy="25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cols>
    <col width="40" customWidth="1" min="1" max="1"/>
    <col width="22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Business Tax Planner - Main (All in One)</t>
        </is>
      </c>
    </row>
    <row r="3">
      <c r="A3" s="2" t="inlineStr">
        <is>
          <t>Assumptions &amp; Inputs</t>
        </is>
      </c>
    </row>
    <row r="4">
      <c r="A4" s="3" t="inlineStr">
        <is>
          <t>Financial Year Start</t>
        </is>
      </c>
      <c r="B4" s="4" t="inlineStr">
        <is>
          <t>01-APR-2026</t>
        </is>
      </c>
    </row>
    <row r="5">
      <c r="A5" s="3" t="inlineStr">
        <is>
          <t>Financial Year End</t>
        </is>
      </c>
      <c r="B5" s="4" t="inlineStr">
        <is>
          <t>31-MAR-2027</t>
        </is>
      </c>
    </row>
    <row r="6">
      <c r="A6" s="3" t="inlineStr">
        <is>
          <t>Currency</t>
        </is>
      </c>
      <c r="B6" s="4" t="inlineStr">
        <is>
          <t>INR</t>
        </is>
      </c>
    </row>
    <row r="7">
      <c r="A7" s="3" t="inlineStr">
        <is>
          <t>Tax Model</t>
        </is>
      </c>
      <c r="B7" s="4" t="inlineStr">
        <is>
          <t>Corporate Tax</t>
        </is>
      </c>
    </row>
    <row r="8">
      <c r="A8" s="3" t="inlineStr">
        <is>
          <t>GST/VAT Included?</t>
        </is>
      </c>
      <c r="B8" s="4" t="inlineStr">
        <is>
          <t>Yes</t>
        </is>
      </c>
    </row>
    <row r="9">
      <c r="A9" s="3" t="inlineStr">
        <is>
          <t>Base Tax Rate</t>
        </is>
      </c>
      <c r="B9" s="5" t="n">
        <v>0.25</v>
      </c>
    </row>
    <row r="10">
      <c r="A10" s="3" t="inlineStr">
        <is>
          <t>Surcharge Rate</t>
        </is>
      </c>
      <c r="B10" s="5" t="n">
        <v>0</v>
      </c>
    </row>
    <row r="11">
      <c r="A11" s="3" t="inlineStr">
        <is>
          <t>Cess Rate</t>
        </is>
      </c>
      <c r="B11" s="5" t="n">
        <v>0.04</v>
      </c>
    </row>
    <row r="12">
      <c r="A12" s="3" t="inlineStr">
        <is>
          <t>Eligible Deductions</t>
        </is>
      </c>
      <c r="B12" s="6" t="n">
        <v>0</v>
      </c>
    </row>
    <row r="13">
      <c r="A13" s="3" t="inlineStr">
        <is>
          <t>Advance Tax Paid (YTD)</t>
        </is>
      </c>
      <c r="B13" s="6" t="n">
        <v>0</v>
      </c>
    </row>
    <row r="14">
      <c r="A14" s="3" t="inlineStr">
        <is>
          <t>Planned Tax Payment Now</t>
        </is>
      </c>
      <c r="B14" s="6" t="n">
        <v>0</v>
      </c>
    </row>
    <row r="15">
      <c r="A15" s="2" t="inlineStr">
        <is>
          <t>KPI Summary</t>
        </is>
      </c>
    </row>
    <row r="16">
      <c r="A16" s="3" t="inlineStr">
        <is>
          <t>YTD Sales</t>
        </is>
      </c>
      <c r="B16" s="7">
        <f>SUM('Current Year Data'!B2:B13)</f>
        <v/>
      </c>
    </row>
    <row r="17">
      <c r="A17" s="3" t="inlineStr">
        <is>
          <t>YTD Purchase</t>
        </is>
      </c>
      <c r="B17" s="7">
        <f>SUM('Current Year Data'!C2:C13)</f>
        <v/>
      </c>
    </row>
    <row r="18">
      <c r="A18" s="3" t="inlineStr">
        <is>
          <t>YTD Profit/Loss</t>
        </is>
      </c>
      <c r="B18" s="7">
        <f>SUM('Current Year Data'!E2:E13)</f>
        <v/>
      </c>
    </row>
    <row r="19">
      <c r="A19" s="3" t="inlineStr">
        <is>
          <t>Predicted Year-End Sales</t>
        </is>
      </c>
      <c r="B19" s="7">
        <f>'All Predictions'!M2</f>
        <v/>
      </c>
    </row>
    <row r="20">
      <c r="A20" s="3" t="inlineStr">
        <is>
          <t>Predicted Year-End Purchase</t>
        </is>
      </c>
      <c r="B20" s="7">
        <f>'All Predictions'!M3</f>
        <v/>
      </c>
    </row>
    <row r="21">
      <c r="A21" s="3" t="inlineStr">
        <is>
          <t>Predicted Year-End Profit</t>
        </is>
      </c>
      <c r="B21" s="7">
        <f>'All Predictions'!M4</f>
        <v/>
      </c>
    </row>
    <row r="22">
      <c r="A22" s="3" t="inlineStr">
        <is>
          <t>Predicted Tax Payable</t>
        </is>
      </c>
      <c r="B22" s="7">
        <f>'All Predictions'!M6</f>
        <v/>
      </c>
    </row>
    <row r="23">
      <c r="A23" s="3" t="inlineStr">
        <is>
          <t>Tax Already Paid</t>
        </is>
      </c>
      <c r="B23" s="7">
        <f>B13</f>
        <v/>
      </c>
    </row>
    <row r="24">
      <c r="A24" s="3" t="inlineStr">
        <is>
          <t>Balance Tax to Pay</t>
        </is>
      </c>
      <c r="B24" s="7">
        <f>MAX(B23-B24,0)</f>
        <v/>
      </c>
    </row>
    <row r="25">
      <c r="A25" s="3" t="inlineStr">
        <is>
          <t>Remaining After Planned Payment</t>
        </is>
      </c>
      <c r="B25" s="8">
        <f>MAX(B25-B14,0)</f>
        <v/>
      </c>
    </row>
    <row r="26">
      <c r="A26" s="3" t="inlineStr">
        <is>
          <t>Months Remaining</t>
        </is>
      </c>
      <c r="B26" s="8">
        <f>COUNTIF('Current Year Data'!G2:G13,"Pending")</f>
        <v/>
      </c>
    </row>
    <row r="27">
      <c r="A27" s="3" t="inlineStr">
        <is>
          <t>Suggested Monthly Payment</t>
        </is>
      </c>
      <c r="B27" s="9">
        <f>IF(B27&gt;0,B26/B27,0)</f>
        <v/>
      </c>
    </row>
    <row r="28">
      <c r="A28" s="3" t="inlineStr">
        <is>
          <t>Cash Buffer Recommendation (10%)</t>
        </is>
      </c>
      <c r="B28" s="7">
        <f>B26*0.10</f>
        <v/>
      </c>
    </row>
    <row r="31">
      <c r="A31" s="2" t="inlineStr">
        <is>
          <t>Alert Flags</t>
        </is>
      </c>
    </row>
    <row r="32">
      <c r="A32" s="3" t="inlineStr">
        <is>
          <t>Underpaid risk</t>
        </is>
      </c>
      <c r="B32" s="9">
        <f>IF(B25&gt;0,"Yes","No")</f>
        <v/>
      </c>
    </row>
    <row r="33">
      <c r="A33" s="3" t="inlineStr">
        <is>
          <t>Overpayment likely</t>
        </is>
      </c>
      <c r="B33" s="9">
        <f>IF(B14&gt;B23,"Yes","No")</f>
        <v/>
      </c>
    </row>
    <row r="34">
      <c r="A34" s="3" t="inlineStr">
        <is>
          <t>Profit drop warning</t>
        </is>
      </c>
      <c r="B34" s="9">
        <f>IF(B22&lt;B18,"Yes","No")</f>
        <v/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4">
    <mergeCell ref="A15:C15"/>
    <mergeCell ref="A3:C3"/>
    <mergeCell ref="A31:C31"/>
    <mergeCell ref="A1:F1"/>
  </mergeCells>
  <conditionalFormatting sqref="B25:B26">
    <cfRule type="cellIs" priority="1" operator="greaterThan" dxfId="0">
      <formula>0</formula>
    </cfRule>
  </conditionalFormatting>
  <dataValidations count="1">
    <dataValidation sqref="B9:B14" showDropDown="0" showInputMessage="0" showErrorMessage="0" allowBlank="1" type="decimal" operator="greaterThanOrEqual">
      <formula1>0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16" customWidth="1" min="3" max="3"/>
    <col width="18" customWidth="1" min="4" max="4"/>
    <col width="16" customWidth="1" min="5" max="5"/>
    <col width="16" customWidth="1" min="6" max="6"/>
  </cols>
  <sheetData>
    <row r="1">
      <c r="A1" s="10" t="inlineStr">
        <is>
          <t>Month</t>
        </is>
      </c>
      <c r="B1" s="10" t="inlineStr">
        <is>
          <t>Sales</t>
        </is>
      </c>
      <c r="C1" s="10" t="inlineStr">
        <is>
          <t>Purchase</t>
        </is>
      </c>
      <c r="D1" s="10" t="inlineStr">
        <is>
          <t>Other Expenses</t>
        </is>
      </c>
      <c r="E1" s="10" t="inlineStr">
        <is>
          <t>Profit/Loss</t>
        </is>
      </c>
      <c r="F1" s="10" t="inlineStr">
        <is>
          <t>Tax Paid</t>
        </is>
      </c>
    </row>
    <row r="2">
      <c r="A2" s="4" t="inlineStr">
        <is>
          <t>Apr</t>
        </is>
      </c>
      <c r="B2" s="6" t="n"/>
      <c r="C2" s="6" t="n"/>
      <c r="D2" s="6" t="n"/>
      <c r="E2" s="7">
        <f>B2-C2-D2</f>
        <v/>
      </c>
      <c r="F2" s="6" t="n"/>
    </row>
    <row r="3">
      <c r="A3" s="4" t="inlineStr">
        <is>
          <t>May</t>
        </is>
      </c>
      <c r="B3" s="6" t="n"/>
      <c r="C3" s="6" t="n"/>
      <c r="D3" s="6" t="n"/>
      <c r="E3" s="7">
        <f>B3-C3-D3</f>
        <v/>
      </c>
      <c r="F3" s="6" t="n"/>
    </row>
    <row r="4">
      <c r="A4" s="4" t="inlineStr">
        <is>
          <t>Jun</t>
        </is>
      </c>
      <c r="B4" s="6" t="n"/>
      <c r="C4" s="6" t="n"/>
      <c r="D4" s="6" t="n"/>
      <c r="E4" s="7">
        <f>B4-C4-D4</f>
        <v/>
      </c>
      <c r="F4" s="6" t="n"/>
    </row>
    <row r="5">
      <c r="A5" s="4" t="inlineStr">
        <is>
          <t>Jul</t>
        </is>
      </c>
      <c r="B5" s="6" t="n"/>
      <c r="C5" s="6" t="n"/>
      <c r="D5" s="6" t="n"/>
      <c r="E5" s="7">
        <f>B5-C5-D5</f>
        <v/>
      </c>
      <c r="F5" s="6" t="n"/>
    </row>
    <row r="6">
      <c r="A6" s="4" t="inlineStr">
        <is>
          <t>Aug</t>
        </is>
      </c>
      <c r="B6" s="6" t="n"/>
      <c r="C6" s="6" t="n"/>
      <c r="D6" s="6" t="n"/>
      <c r="E6" s="7">
        <f>B6-C6-D6</f>
        <v/>
      </c>
      <c r="F6" s="6" t="n"/>
    </row>
    <row r="7">
      <c r="A7" s="4" t="inlineStr">
        <is>
          <t>Sep</t>
        </is>
      </c>
      <c r="B7" s="6" t="n"/>
      <c r="C7" s="6" t="n"/>
      <c r="D7" s="6" t="n"/>
      <c r="E7" s="7">
        <f>B7-C7-D7</f>
        <v/>
      </c>
      <c r="F7" s="6" t="n"/>
    </row>
    <row r="8">
      <c r="A8" s="4" t="inlineStr">
        <is>
          <t>Oct</t>
        </is>
      </c>
      <c r="B8" s="6" t="n"/>
      <c r="C8" s="6" t="n"/>
      <c r="D8" s="6" t="n"/>
      <c r="E8" s="7">
        <f>B8-C8-D8</f>
        <v/>
      </c>
      <c r="F8" s="6" t="n"/>
    </row>
    <row r="9">
      <c r="A9" s="4" t="inlineStr">
        <is>
          <t>Nov</t>
        </is>
      </c>
      <c r="B9" s="6" t="n"/>
      <c r="C9" s="6" t="n"/>
      <c r="D9" s="6" t="n"/>
      <c r="E9" s="7">
        <f>B9-C9-D9</f>
        <v/>
      </c>
      <c r="F9" s="6" t="n"/>
    </row>
    <row r="10">
      <c r="A10" s="4" t="inlineStr">
        <is>
          <t>Dec</t>
        </is>
      </c>
      <c r="B10" s="6" t="n"/>
      <c r="C10" s="6" t="n"/>
      <c r="D10" s="6" t="n"/>
      <c r="E10" s="7">
        <f>B10-C10-D10</f>
        <v/>
      </c>
      <c r="F10" s="6" t="n"/>
    </row>
    <row r="11">
      <c r="A11" s="4" t="inlineStr">
        <is>
          <t>Jan</t>
        </is>
      </c>
      <c r="B11" s="6" t="n"/>
      <c r="C11" s="6" t="n"/>
      <c r="D11" s="6" t="n"/>
      <c r="E11" s="7">
        <f>B11-C11-D11</f>
        <v/>
      </c>
      <c r="F11" s="6" t="n"/>
    </row>
    <row r="12">
      <c r="A12" s="4" t="inlineStr">
        <is>
          <t>Feb</t>
        </is>
      </c>
      <c r="B12" s="6" t="n"/>
      <c r="C12" s="6" t="n"/>
      <c r="D12" s="6" t="n"/>
      <c r="E12" s="7">
        <f>B12-C12-D12</f>
        <v/>
      </c>
      <c r="F12" s="6" t="n"/>
    </row>
    <row r="13">
      <c r="A13" s="4" t="inlineStr">
        <is>
          <t>Mar</t>
        </is>
      </c>
      <c r="B13" s="6" t="n"/>
      <c r="C13" s="6" t="n"/>
      <c r="D13" s="6" t="n"/>
      <c r="E13" s="7">
        <f>B13-C13-D13</f>
        <v/>
      </c>
      <c r="F13" s="6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conditionalFormatting sqref="E2:E13">
    <cfRule type="cellIs" priority="1" operator="lessThan" dxfId="0">
      <formula>0</formula>
    </cfRule>
  </conditionalFormatting>
  <dataValidations count="1">
    <dataValidation sqref="B2:D13 F2:F13" showDropDown="0" showInputMessage="0" showErrorMessage="0" allowBlank="1" type="decimal" operator="greaterThanOrEqual">
      <formula1>0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16" customWidth="1" min="3" max="3"/>
    <col width="18" customWidth="1" min="4" max="4"/>
    <col width="16" customWidth="1" min="5" max="5"/>
    <col width="16" customWidth="1" min="6" max="6"/>
    <col width="14" customWidth="1" min="7" max="7"/>
  </cols>
  <sheetData>
    <row r="1">
      <c r="A1" s="10" t="inlineStr">
        <is>
          <t>Month</t>
        </is>
      </c>
      <c r="B1" s="10" t="inlineStr">
        <is>
          <t>Sales</t>
        </is>
      </c>
      <c r="C1" s="10" t="inlineStr">
        <is>
          <t>Purchase</t>
        </is>
      </c>
      <c r="D1" s="10" t="inlineStr">
        <is>
          <t>Other Expenses</t>
        </is>
      </c>
      <c r="E1" s="10" t="inlineStr">
        <is>
          <t>Profit/Loss</t>
        </is>
      </c>
      <c r="F1" s="10" t="inlineStr">
        <is>
          <t>Tax Paid</t>
        </is>
      </c>
      <c r="G1" s="10" t="inlineStr">
        <is>
          <t>Status</t>
        </is>
      </c>
    </row>
    <row r="2">
      <c r="A2" s="4" t="inlineStr">
        <is>
          <t>Apr</t>
        </is>
      </c>
      <c r="B2" s="6" t="n"/>
      <c r="C2" s="6" t="n"/>
      <c r="D2" s="6" t="n"/>
      <c r="E2" s="7">
        <f>B2-C2-D2</f>
        <v/>
      </c>
      <c r="F2" s="6" t="n"/>
      <c r="G2" s="4" t="inlineStr">
        <is>
          <t>Pending</t>
        </is>
      </c>
    </row>
    <row r="3">
      <c r="A3" s="4" t="inlineStr">
        <is>
          <t>May</t>
        </is>
      </c>
      <c r="B3" s="6" t="n"/>
      <c r="C3" s="6" t="n"/>
      <c r="D3" s="6" t="n"/>
      <c r="E3" s="7">
        <f>B3-C3-D3</f>
        <v/>
      </c>
      <c r="F3" s="6" t="n"/>
      <c r="G3" s="4" t="inlineStr">
        <is>
          <t>Pending</t>
        </is>
      </c>
    </row>
    <row r="4">
      <c r="A4" s="4" t="inlineStr">
        <is>
          <t>Jun</t>
        </is>
      </c>
      <c r="B4" s="6" t="n"/>
      <c r="C4" s="6" t="n"/>
      <c r="D4" s="6" t="n"/>
      <c r="E4" s="7">
        <f>B4-C4-D4</f>
        <v/>
      </c>
      <c r="F4" s="6" t="n"/>
      <c r="G4" s="4" t="inlineStr">
        <is>
          <t>Pending</t>
        </is>
      </c>
    </row>
    <row r="5">
      <c r="A5" s="4" t="inlineStr">
        <is>
          <t>Jul</t>
        </is>
      </c>
      <c r="B5" s="6" t="n"/>
      <c r="C5" s="6" t="n"/>
      <c r="D5" s="6" t="n"/>
      <c r="E5" s="7">
        <f>B5-C5-D5</f>
        <v/>
      </c>
      <c r="F5" s="6" t="n"/>
      <c r="G5" s="4" t="inlineStr">
        <is>
          <t>Pending</t>
        </is>
      </c>
    </row>
    <row r="6">
      <c r="A6" s="4" t="inlineStr">
        <is>
          <t>Aug</t>
        </is>
      </c>
      <c r="B6" s="6" t="n"/>
      <c r="C6" s="6" t="n"/>
      <c r="D6" s="6" t="n"/>
      <c r="E6" s="7">
        <f>B6-C6-D6</f>
        <v/>
      </c>
      <c r="F6" s="6" t="n"/>
      <c r="G6" s="4" t="inlineStr">
        <is>
          <t>Pending</t>
        </is>
      </c>
    </row>
    <row r="7">
      <c r="A7" s="4" t="inlineStr">
        <is>
          <t>Sep</t>
        </is>
      </c>
      <c r="B7" s="6" t="n"/>
      <c r="C7" s="6" t="n"/>
      <c r="D7" s="6" t="n"/>
      <c r="E7" s="7">
        <f>B7-C7-D7</f>
        <v/>
      </c>
      <c r="F7" s="6" t="n"/>
      <c r="G7" s="4" t="inlineStr">
        <is>
          <t>Pending</t>
        </is>
      </c>
    </row>
    <row r="8">
      <c r="A8" s="4" t="inlineStr">
        <is>
          <t>Oct</t>
        </is>
      </c>
      <c r="B8" s="6" t="n"/>
      <c r="C8" s="6" t="n"/>
      <c r="D8" s="6" t="n"/>
      <c r="E8" s="7">
        <f>B8-C8-D8</f>
        <v/>
      </c>
      <c r="F8" s="6" t="n"/>
      <c r="G8" s="4" t="inlineStr">
        <is>
          <t>Pending</t>
        </is>
      </c>
    </row>
    <row r="9">
      <c r="A9" s="4" t="inlineStr">
        <is>
          <t>Nov</t>
        </is>
      </c>
      <c r="B9" s="6" t="n"/>
      <c r="C9" s="6" t="n"/>
      <c r="D9" s="6" t="n"/>
      <c r="E9" s="7">
        <f>B9-C9-D9</f>
        <v/>
      </c>
      <c r="F9" s="6" t="n"/>
      <c r="G9" s="4" t="inlineStr">
        <is>
          <t>Pending</t>
        </is>
      </c>
    </row>
    <row r="10">
      <c r="A10" s="4" t="inlineStr">
        <is>
          <t>Dec</t>
        </is>
      </c>
      <c r="B10" s="6" t="n"/>
      <c r="C10" s="6" t="n"/>
      <c r="D10" s="6" t="n"/>
      <c r="E10" s="7">
        <f>B10-C10-D10</f>
        <v/>
      </c>
      <c r="F10" s="6" t="n"/>
      <c r="G10" s="4" t="inlineStr">
        <is>
          <t>Pending</t>
        </is>
      </c>
    </row>
    <row r="11">
      <c r="A11" s="4" t="inlineStr">
        <is>
          <t>Jan</t>
        </is>
      </c>
      <c r="B11" s="6" t="n"/>
      <c r="C11" s="6" t="n"/>
      <c r="D11" s="6" t="n"/>
      <c r="E11" s="7">
        <f>B11-C11-D11</f>
        <v/>
      </c>
      <c r="F11" s="6" t="n"/>
      <c r="G11" s="4" t="inlineStr">
        <is>
          <t>Pending</t>
        </is>
      </c>
    </row>
    <row r="12">
      <c r="A12" s="4" t="inlineStr">
        <is>
          <t>Feb</t>
        </is>
      </c>
      <c r="B12" s="6" t="n"/>
      <c r="C12" s="6" t="n"/>
      <c r="D12" s="6" t="n"/>
      <c r="E12" s="7">
        <f>B12-C12-D12</f>
        <v/>
      </c>
      <c r="F12" s="6" t="n"/>
      <c r="G12" s="4" t="inlineStr">
        <is>
          <t>Pending</t>
        </is>
      </c>
    </row>
    <row r="13">
      <c r="A13" s="4" t="inlineStr">
        <is>
          <t>Mar</t>
        </is>
      </c>
      <c r="B13" s="6" t="n"/>
      <c r="C13" s="6" t="n"/>
      <c r="D13" s="6" t="n"/>
      <c r="E13" s="7">
        <f>B13-C13-D13</f>
        <v/>
      </c>
      <c r="F13" s="6" t="n"/>
      <c r="G13" s="4" t="inlineStr">
        <is>
          <t>Pending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conditionalFormatting sqref="E2:E13">
    <cfRule type="cellIs" priority="1" operator="lessThan" dxfId="0">
      <formula>0</formula>
    </cfRule>
  </conditionalFormatting>
  <dataValidations count="2">
    <dataValidation sqref="B2:D13 F2:F13" showDropDown="0" showInputMessage="0" showErrorMessage="0" allowBlank="1" type="decimal" operator="greaterThanOrEqual">
      <formula1>0</formula1>
    </dataValidation>
    <dataValidation sqref="G2:G13" showDropDown="0" showInputMessage="0" showErrorMessage="0" allowBlank="0" type="list">
      <formula1>"Actual,Pending"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35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3" max="13"/>
  </cols>
  <sheetData>
    <row r="1">
      <c r="A1" s="11" t="inlineStr">
        <is>
          <t>All Predictions</t>
        </is>
      </c>
    </row>
    <row r="2">
      <c r="M2">
        <f>B24</f>
        <v/>
      </c>
    </row>
    <row r="3">
      <c r="A3" s="2" t="inlineStr">
        <is>
          <t>Model Settings</t>
        </is>
      </c>
      <c r="M3">
        <f>B25</f>
        <v/>
      </c>
    </row>
    <row r="4">
      <c r="A4" s="3" t="inlineStr">
        <is>
          <t>Scenario</t>
        </is>
      </c>
      <c r="B4" s="4" t="inlineStr">
        <is>
          <t>Base</t>
        </is>
      </c>
      <c r="M4">
        <f>B26</f>
        <v/>
      </c>
    </row>
    <row r="5">
      <c r="A5" s="3" t="inlineStr">
        <is>
          <t>Weight: Current Trend</t>
        </is>
      </c>
      <c r="B5" s="5" t="n">
        <v>0.6</v>
      </c>
    </row>
    <row r="6">
      <c r="A6" s="3" t="inlineStr">
        <is>
          <t>Weight: Last Year Seasonality</t>
        </is>
      </c>
      <c r="B6" s="5" t="n">
        <v>0.4</v>
      </c>
      <c r="M6">
        <f>B28</f>
        <v/>
      </c>
    </row>
    <row r="7">
      <c r="A7" s="3" t="inlineStr">
        <is>
          <t>Best-case uplift</t>
        </is>
      </c>
      <c r="B7" s="5" t="n">
        <v>0.1</v>
      </c>
    </row>
    <row r="8">
      <c r="A8" s="3" t="inlineStr">
        <is>
          <t>Worst-case reduction</t>
        </is>
      </c>
      <c r="B8" s="5" t="n">
        <v>0.1</v>
      </c>
    </row>
    <row r="10">
      <c r="A10" s="10" t="inlineStr">
        <is>
          <t>Month</t>
        </is>
      </c>
      <c r="B10" s="10" t="inlineStr">
        <is>
          <t>Actual Sales</t>
        </is>
      </c>
      <c r="C10" s="10" t="inlineStr">
        <is>
          <t>Pred Sales</t>
        </is>
      </c>
      <c r="D10" s="10" t="inlineStr">
        <is>
          <t>Actual Purchase</t>
        </is>
      </c>
      <c r="E10" s="10" t="inlineStr">
        <is>
          <t>Pred Purchase</t>
        </is>
      </c>
      <c r="F10" s="10" t="inlineStr">
        <is>
          <t>Actual Expenses</t>
        </is>
      </c>
      <c r="G10" s="10" t="inlineStr">
        <is>
          <t>Pred Expenses</t>
        </is>
      </c>
      <c r="H10" s="10" t="inlineStr">
        <is>
          <t>Actual Profit</t>
        </is>
      </c>
      <c r="I10" s="10" t="inlineStr">
        <is>
          <t>Pred Profit</t>
        </is>
      </c>
    </row>
    <row r="11">
      <c r="A11" s="12" t="inlineStr">
        <is>
          <t>Apr</t>
        </is>
      </c>
      <c r="B11" s="12">
        <f>'Current Year Data'!B2</f>
        <v/>
      </c>
      <c r="C11" s="9">
        <f>IF('Current Year Data'!G2="Actual",B11,($B$5*IFERROR(AVERAGEIF('Current Year Data'!$B$2:$B$13,"&gt;0"),0)+$B$6*'Last Year Data'!B2)*IF($B$4="Best",1+$B$7,IF($B$4="Worst",1-$B$8,1)))</f>
        <v/>
      </c>
      <c r="D11" s="12">
        <f>'Current Year Data'!C2</f>
        <v/>
      </c>
      <c r="E11" s="9">
        <f>IF('Current Year Data'!G2="Actual",D11,($B$5*IFERROR(AVERAGEIF('Current Year Data'!$C$2:$C$13,"&gt;0"),0)+$B$6*'Last Year Data'!C2)*IF($B$4="Best",1+$B$7,IF($B$4="Worst",1-$B$8,1)))</f>
        <v/>
      </c>
      <c r="F11" s="12">
        <f>'Current Year Data'!D2</f>
        <v/>
      </c>
      <c r="G11" s="9">
        <f>IF('Current Year Data'!G2="Actual",F11,($B$5*IFERROR(AVERAGEIF('Current Year Data'!$D$2:$D$13,"&gt;0"),0)+$B$6*'Last Year Data'!D2)*IF($B$4="Best",1+$B$7,IF($B$4="Worst",1-$B$8,1)))</f>
        <v/>
      </c>
      <c r="H11" s="12">
        <f>'Current Year Data'!E2</f>
        <v/>
      </c>
      <c r="I11" s="9">
        <f>C11-E11-G11</f>
        <v/>
      </c>
    </row>
    <row r="12">
      <c r="A12" s="12" t="inlineStr">
        <is>
          <t>May</t>
        </is>
      </c>
      <c r="B12" s="12">
        <f>'Current Year Data'!B3</f>
        <v/>
      </c>
      <c r="C12" s="9">
        <f>IF('Current Year Data'!G3="Actual",B12,($B$5*IFERROR(AVERAGEIF('Current Year Data'!$B$2:$B$13,"&gt;0"),0)+$B$6*'Last Year Data'!B3)*IF($B$4="Best",1+$B$7,IF($B$4="Worst",1-$B$8,1)))</f>
        <v/>
      </c>
      <c r="D12" s="12">
        <f>'Current Year Data'!C3</f>
        <v/>
      </c>
      <c r="E12" s="9">
        <f>IF('Current Year Data'!G3="Actual",D12,($B$5*IFERROR(AVERAGEIF('Current Year Data'!$C$2:$C$13,"&gt;0"),0)+$B$6*'Last Year Data'!C3)*IF($B$4="Best",1+$B$7,IF($B$4="Worst",1-$B$8,1)))</f>
        <v/>
      </c>
      <c r="F12" s="12">
        <f>'Current Year Data'!D3</f>
        <v/>
      </c>
      <c r="G12" s="9">
        <f>IF('Current Year Data'!G3="Actual",F12,($B$5*IFERROR(AVERAGEIF('Current Year Data'!$D$2:$D$13,"&gt;0"),0)+$B$6*'Last Year Data'!D3)*IF($B$4="Best",1+$B$7,IF($B$4="Worst",1-$B$8,1)))</f>
        <v/>
      </c>
      <c r="H12" s="12">
        <f>'Current Year Data'!E3</f>
        <v/>
      </c>
      <c r="I12" s="9">
        <f>C12-E12-G12</f>
        <v/>
      </c>
    </row>
    <row r="13">
      <c r="A13" s="12" t="inlineStr">
        <is>
          <t>Jun</t>
        </is>
      </c>
      <c r="B13" s="12">
        <f>'Current Year Data'!B4</f>
        <v/>
      </c>
      <c r="C13" s="9">
        <f>IF('Current Year Data'!G4="Actual",B13,($B$5*IFERROR(AVERAGEIF('Current Year Data'!$B$2:$B$13,"&gt;0"),0)+$B$6*'Last Year Data'!B4)*IF($B$4="Best",1+$B$7,IF($B$4="Worst",1-$B$8,1)))</f>
        <v/>
      </c>
      <c r="D13" s="12">
        <f>'Current Year Data'!C4</f>
        <v/>
      </c>
      <c r="E13" s="9">
        <f>IF('Current Year Data'!G4="Actual",D13,($B$5*IFERROR(AVERAGEIF('Current Year Data'!$C$2:$C$13,"&gt;0"),0)+$B$6*'Last Year Data'!C4)*IF($B$4="Best",1+$B$7,IF($B$4="Worst",1-$B$8,1)))</f>
        <v/>
      </c>
      <c r="F13" s="12">
        <f>'Current Year Data'!D4</f>
        <v/>
      </c>
      <c r="G13" s="9">
        <f>IF('Current Year Data'!G4="Actual",F13,($B$5*IFERROR(AVERAGEIF('Current Year Data'!$D$2:$D$13,"&gt;0"),0)+$B$6*'Last Year Data'!D4)*IF($B$4="Best",1+$B$7,IF($B$4="Worst",1-$B$8,1)))</f>
        <v/>
      </c>
      <c r="H13" s="12">
        <f>'Current Year Data'!E4</f>
        <v/>
      </c>
      <c r="I13" s="9">
        <f>C13-E13-G13</f>
        <v/>
      </c>
    </row>
    <row r="14">
      <c r="A14" s="12" t="inlineStr">
        <is>
          <t>Jul</t>
        </is>
      </c>
      <c r="B14" s="12">
        <f>'Current Year Data'!B5</f>
        <v/>
      </c>
      <c r="C14" s="9">
        <f>IF('Current Year Data'!G5="Actual",B14,($B$5*IFERROR(AVERAGEIF('Current Year Data'!$B$2:$B$13,"&gt;0"),0)+$B$6*'Last Year Data'!B5)*IF($B$4="Best",1+$B$7,IF($B$4="Worst",1-$B$8,1)))</f>
        <v/>
      </c>
      <c r="D14" s="12">
        <f>'Current Year Data'!C5</f>
        <v/>
      </c>
      <c r="E14" s="9">
        <f>IF('Current Year Data'!G5="Actual",D14,($B$5*IFERROR(AVERAGEIF('Current Year Data'!$C$2:$C$13,"&gt;0"),0)+$B$6*'Last Year Data'!C5)*IF($B$4="Best",1+$B$7,IF($B$4="Worst",1-$B$8,1)))</f>
        <v/>
      </c>
      <c r="F14" s="12">
        <f>'Current Year Data'!D5</f>
        <v/>
      </c>
      <c r="G14" s="9">
        <f>IF('Current Year Data'!G5="Actual",F14,($B$5*IFERROR(AVERAGEIF('Current Year Data'!$D$2:$D$13,"&gt;0"),0)+$B$6*'Last Year Data'!D5)*IF($B$4="Best",1+$B$7,IF($B$4="Worst",1-$B$8,1)))</f>
        <v/>
      </c>
      <c r="H14" s="12">
        <f>'Current Year Data'!E5</f>
        <v/>
      </c>
      <c r="I14" s="9">
        <f>C14-E14-G14</f>
        <v/>
      </c>
    </row>
    <row r="15">
      <c r="A15" s="12" t="inlineStr">
        <is>
          <t>Aug</t>
        </is>
      </c>
      <c r="B15" s="12">
        <f>'Current Year Data'!B6</f>
        <v/>
      </c>
      <c r="C15" s="9">
        <f>IF('Current Year Data'!G6="Actual",B15,($B$5*IFERROR(AVERAGEIF('Current Year Data'!$B$2:$B$13,"&gt;0"),0)+$B$6*'Last Year Data'!B6)*IF($B$4="Best",1+$B$7,IF($B$4="Worst",1-$B$8,1)))</f>
        <v/>
      </c>
      <c r="D15" s="12">
        <f>'Current Year Data'!C6</f>
        <v/>
      </c>
      <c r="E15" s="9">
        <f>IF('Current Year Data'!G6="Actual",D15,($B$5*IFERROR(AVERAGEIF('Current Year Data'!$C$2:$C$13,"&gt;0"),0)+$B$6*'Last Year Data'!C6)*IF($B$4="Best",1+$B$7,IF($B$4="Worst",1-$B$8,1)))</f>
        <v/>
      </c>
      <c r="F15" s="12">
        <f>'Current Year Data'!D6</f>
        <v/>
      </c>
      <c r="G15" s="9">
        <f>IF('Current Year Data'!G6="Actual",F15,($B$5*IFERROR(AVERAGEIF('Current Year Data'!$D$2:$D$13,"&gt;0"),0)+$B$6*'Last Year Data'!D6)*IF($B$4="Best",1+$B$7,IF($B$4="Worst",1-$B$8,1)))</f>
        <v/>
      </c>
      <c r="H15" s="12">
        <f>'Current Year Data'!E6</f>
        <v/>
      </c>
      <c r="I15" s="9">
        <f>C15-E15-G15</f>
        <v/>
      </c>
    </row>
    <row r="16">
      <c r="A16" s="12" t="inlineStr">
        <is>
          <t>Sep</t>
        </is>
      </c>
      <c r="B16" s="12">
        <f>'Current Year Data'!B7</f>
        <v/>
      </c>
      <c r="C16" s="9">
        <f>IF('Current Year Data'!G7="Actual",B16,($B$5*IFERROR(AVERAGEIF('Current Year Data'!$B$2:$B$13,"&gt;0"),0)+$B$6*'Last Year Data'!B7)*IF($B$4="Best",1+$B$7,IF($B$4="Worst",1-$B$8,1)))</f>
        <v/>
      </c>
      <c r="D16" s="12">
        <f>'Current Year Data'!C7</f>
        <v/>
      </c>
      <c r="E16" s="9">
        <f>IF('Current Year Data'!G7="Actual",D16,($B$5*IFERROR(AVERAGEIF('Current Year Data'!$C$2:$C$13,"&gt;0"),0)+$B$6*'Last Year Data'!C7)*IF($B$4="Best",1+$B$7,IF($B$4="Worst",1-$B$8,1)))</f>
        <v/>
      </c>
      <c r="F16" s="12">
        <f>'Current Year Data'!D7</f>
        <v/>
      </c>
      <c r="G16" s="9">
        <f>IF('Current Year Data'!G7="Actual",F16,($B$5*IFERROR(AVERAGEIF('Current Year Data'!$D$2:$D$13,"&gt;0"),0)+$B$6*'Last Year Data'!D7)*IF($B$4="Best",1+$B$7,IF($B$4="Worst",1-$B$8,1)))</f>
        <v/>
      </c>
      <c r="H16" s="12">
        <f>'Current Year Data'!E7</f>
        <v/>
      </c>
      <c r="I16" s="9">
        <f>C16-E16-G16</f>
        <v/>
      </c>
    </row>
    <row r="17">
      <c r="A17" s="12" t="inlineStr">
        <is>
          <t>Oct</t>
        </is>
      </c>
      <c r="B17" s="12">
        <f>'Current Year Data'!B8</f>
        <v/>
      </c>
      <c r="C17" s="9">
        <f>IF('Current Year Data'!G8="Actual",B17,($B$5*IFERROR(AVERAGEIF('Current Year Data'!$B$2:$B$13,"&gt;0"),0)+$B$6*'Last Year Data'!B8)*IF($B$4="Best",1+$B$7,IF($B$4="Worst",1-$B$8,1)))</f>
        <v/>
      </c>
      <c r="D17" s="12">
        <f>'Current Year Data'!C8</f>
        <v/>
      </c>
      <c r="E17" s="9">
        <f>IF('Current Year Data'!G8="Actual",D17,($B$5*IFERROR(AVERAGEIF('Current Year Data'!$C$2:$C$13,"&gt;0"),0)+$B$6*'Last Year Data'!C8)*IF($B$4="Best",1+$B$7,IF($B$4="Worst",1-$B$8,1)))</f>
        <v/>
      </c>
      <c r="F17" s="12">
        <f>'Current Year Data'!D8</f>
        <v/>
      </c>
      <c r="G17" s="9">
        <f>IF('Current Year Data'!G8="Actual",F17,($B$5*IFERROR(AVERAGEIF('Current Year Data'!$D$2:$D$13,"&gt;0"),0)+$B$6*'Last Year Data'!D8)*IF($B$4="Best",1+$B$7,IF($B$4="Worst",1-$B$8,1)))</f>
        <v/>
      </c>
      <c r="H17" s="12">
        <f>'Current Year Data'!E8</f>
        <v/>
      </c>
      <c r="I17" s="9">
        <f>C17-E17-G17</f>
        <v/>
      </c>
    </row>
    <row r="18">
      <c r="A18" s="12" t="inlineStr">
        <is>
          <t>Nov</t>
        </is>
      </c>
      <c r="B18" s="12">
        <f>'Current Year Data'!B9</f>
        <v/>
      </c>
      <c r="C18" s="9">
        <f>IF('Current Year Data'!G9="Actual",B18,($B$5*IFERROR(AVERAGEIF('Current Year Data'!$B$2:$B$13,"&gt;0"),0)+$B$6*'Last Year Data'!B9)*IF($B$4="Best",1+$B$7,IF($B$4="Worst",1-$B$8,1)))</f>
        <v/>
      </c>
      <c r="D18" s="12">
        <f>'Current Year Data'!C9</f>
        <v/>
      </c>
      <c r="E18" s="9">
        <f>IF('Current Year Data'!G9="Actual",D18,($B$5*IFERROR(AVERAGEIF('Current Year Data'!$C$2:$C$13,"&gt;0"),0)+$B$6*'Last Year Data'!C9)*IF($B$4="Best",1+$B$7,IF($B$4="Worst",1-$B$8,1)))</f>
        <v/>
      </c>
      <c r="F18" s="12">
        <f>'Current Year Data'!D9</f>
        <v/>
      </c>
      <c r="G18" s="9">
        <f>IF('Current Year Data'!G9="Actual",F18,($B$5*IFERROR(AVERAGEIF('Current Year Data'!$D$2:$D$13,"&gt;0"),0)+$B$6*'Last Year Data'!D9)*IF($B$4="Best",1+$B$7,IF($B$4="Worst",1-$B$8,1)))</f>
        <v/>
      </c>
      <c r="H18" s="12">
        <f>'Current Year Data'!E9</f>
        <v/>
      </c>
      <c r="I18" s="9">
        <f>C18-E18-G18</f>
        <v/>
      </c>
    </row>
    <row r="19">
      <c r="A19" s="12" t="inlineStr">
        <is>
          <t>Dec</t>
        </is>
      </c>
      <c r="B19" s="12">
        <f>'Current Year Data'!B10</f>
        <v/>
      </c>
      <c r="C19" s="9">
        <f>IF('Current Year Data'!G10="Actual",B19,($B$5*IFERROR(AVERAGEIF('Current Year Data'!$B$2:$B$13,"&gt;0"),0)+$B$6*'Last Year Data'!B10)*IF($B$4="Best",1+$B$7,IF($B$4="Worst",1-$B$8,1)))</f>
        <v/>
      </c>
      <c r="D19" s="12">
        <f>'Current Year Data'!C10</f>
        <v/>
      </c>
      <c r="E19" s="9">
        <f>IF('Current Year Data'!G10="Actual",D19,($B$5*IFERROR(AVERAGEIF('Current Year Data'!$C$2:$C$13,"&gt;0"),0)+$B$6*'Last Year Data'!C10)*IF($B$4="Best",1+$B$7,IF($B$4="Worst",1-$B$8,1)))</f>
        <v/>
      </c>
      <c r="F19" s="12">
        <f>'Current Year Data'!D10</f>
        <v/>
      </c>
      <c r="G19" s="9">
        <f>IF('Current Year Data'!G10="Actual",F19,($B$5*IFERROR(AVERAGEIF('Current Year Data'!$D$2:$D$13,"&gt;0"),0)+$B$6*'Last Year Data'!D10)*IF($B$4="Best",1+$B$7,IF($B$4="Worst",1-$B$8,1)))</f>
        <v/>
      </c>
      <c r="H19" s="12">
        <f>'Current Year Data'!E10</f>
        <v/>
      </c>
      <c r="I19" s="9">
        <f>C19-E19-G19</f>
        <v/>
      </c>
    </row>
    <row r="20">
      <c r="A20" s="12" t="inlineStr">
        <is>
          <t>Jan</t>
        </is>
      </c>
      <c r="B20" s="12">
        <f>'Current Year Data'!B11</f>
        <v/>
      </c>
      <c r="C20" s="9">
        <f>IF('Current Year Data'!G11="Actual",B20,($B$5*IFERROR(AVERAGEIF('Current Year Data'!$B$2:$B$13,"&gt;0"),0)+$B$6*'Last Year Data'!B11)*IF($B$4="Best",1+$B$7,IF($B$4="Worst",1-$B$8,1)))</f>
        <v/>
      </c>
      <c r="D20" s="12">
        <f>'Current Year Data'!C11</f>
        <v/>
      </c>
      <c r="E20" s="9">
        <f>IF('Current Year Data'!G11="Actual",D20,($B$5*IFERROR(AVERAGEIF('Current Year Data'!$C$2:$C$13,"&gt;0"),0)+$B$6*'Last Year Data'!C11)*IF($B$4="Best",1+$B$7,IF($B$4="Worst",1-$B$8,1)))</f>
        <v/>
      </c>
      <c r="F20" s="12">
        <f>'Current Year Data'!D11</f>
        <v/>
      </c>
      <c r="G20" s="9">
        <f>IF('Current Year Data'!G11="Actual",F20,($B$5*IFERROR(AVERAGEIF('Current Year Data'!$D$2:$D$13,"&gt;0"),0)+$B$6*'Last Year Data'!D11)*IF($B$4="Best",1+$B$7,IF($B$4="Worst",1-$B$8,1)))</f>
        <v/>
      </c>
      <c r="H20" s="12">
        <f>'Current Year Data'!E11</f>
        <v/>
      </c>
      <c r="I20" s="9">
        <f>C20-E20-G20</f>
        <v/>
      </c>
    </row>
    <row r="21">
      <c r="A21" s="12" t="inlineStr">
        <is>
          <t>Feb</t>
        </is>
      </c>
      <c r="B21" s="12">
        <f>'Current Year Data'!B12</f>
        <v/>
      </c>
      <c r="C21" s="9">
        <f>IF('Current Year Data'!G12="Actual",B21,($B$5*IFERROR(AVERAGEIF('Current Year Data'!$B$2:$B$13,"&gt;0"),0)+$B$6*'Last Year Data'!B12)*IF($B$4="Best",1+$B$7,IF($B$4="Worst",1-$B$8,1)))</f>
        <v/>
      </c>
      <c r="D21" s="12">
        <f>'Current Year Data'!C12</f>
        <v/>
      </c>
      <c r="E21" s="9">
        <f>IF('Current Year Data'!G12="Actual",D21,($B$5*IFERROR(AVERAGEIF('Current Year Data'!$C$2:$C$13,"&gt;0"),0)+$B$6*'Last Year Data'!C12)*IF($B$4="Best",1+$B$7,IF($B$4="Worst",1-$B$8,1)))</f>
        <v/>
      </c>
      <c r="F21" s="12">
        <f>'Current Year Data'!D12</f>
        <v/>
      </c>
      <c r="G21" s="9">
        <f>IF('Current Year Data'!G12="Actual",F21,($B$5*IFERROR(AVERAGEIF('Current Year Data'!$D$2:$D$13,"&gt;0"),0)+$B$6*'Last Year Data'!D12)*IF($B$4="Best",1+$B$7,IF($B$4="Worst",1-$B$8,1)))</f>
        <v/>
      </c>
      <c r="H21" s="12">
        <f>'Current Year Data'!E12</f>
        <v/>
      </c>
      <c r="I21" s="9">
        <f>C21-E21-G21</f>
        <v/>
      </c>
    </row>
    <row r="22">
      <c r="A22" s="12" t="inlineStr">
        <is>
          <t>Mar</t>
        </is>
      </c>
      <c r="B22" s="12">
        <f>'Current Year Data'!B13</f>
        <v/>
      </c>
      <c r="C22" s="9">
        <f>IF('Current Year Data'!G13="Actual",B22,($B$5*IFERROR(AVERAGEIF('Current Year Data'!$B$2:$B$13,"&gt;0"),0)+$B$6*'Last Year Data'!B13)*IF($B$4="Best",1+$B$7,IF($B$4="Worst",1-$B$8,1)))</f>
        <v/>
      </c>
      <c r="D22" s="12">
        <f>'Current Year Data'!C13</f>
        <v/>
      </c>
      <c r="E22" s="9">
        <f>IF('Current Year Data'!G13="Actual",D22,($B$5*IFERROR(AVERAGEIF('Current Year Data'!$C$2:$C$13,"&gt;0"),0)+$B$6*'Last Year Data'!C13)*IF($B$4="Best",1+$B$7,IF($B$4="Worst",1-$B$8,1)))</f>
        <v/>
      </c>
      <c r="F22" s="12">
        <f>'Current Year Data'!D13</f>
        <v/>
      </c>
      <c r="G22" s="9">
        <f>IF('Current Year Data'!G13="Actual",F22,($B$5*IFERROR(AVERAGEIF('Current Year Data'!$D$2:$D$13,"&gt;0"),0)+$B$6*'Last Year Data'!D13)*IF($B$4="Best",1+$B$7,IF($B$4="Worst",1-$B$8,1)))</f>
        <v/>
      </c>
      <c r="H22" s="12">
        <f>'Current Year Data'!E13</f>
        <v/>
      </c>
      <c r="I22" s="9">
        <f>C22-E22-G22</f>
        <v/>
      </c>
    </row>
    <row r="24">
      <c r="A24" s="3" t="inlineStr">
        <is>
          <t>Predicted Full-Year Sales</t>
        </is>
      </c>
      <c r="B24" s="7">
        <f>SUM(C11:C22)</f>
        <v/>
      </c>
    </row>
    <row r="25">
      <c r="A25" s="3" t="inlineStr">
        <is>
          <t>Predicted Full-Year Purchase</t>
        </is>
      </c>
      <c r="B25" s="7">
        <f>SUM(E11:E22)</f>
        <v/>
      </c>
    </row>
    <row r="26">
      <c r="A26" s="3" t="inlineStr">
        <is>
          <t>Predicted Full-Year Profit</t>
        </is>
      </c>
      <c r="B26" s="7">
        <f>SUM(I11:I22)</f>
        <v/>
      </c>
    </row>
    <row r="27">
      <c r="A27" s="3" t="inlineStr">
        <is>
          <t>Estimated Taxable Income</t>
        </is>
      </c>
      <c r="B27" s="7">
        <f>MAX(B26-'Main (All in One)'!B12,0)</f>
        <v/>
      </c>
    </row>
    <row r="28">
      <c r="A28" s="3" t="inlineStr">
        <is>
          <t>Current FY Predicted Tax Payable</t>
        </is>
      </c>
      <c r="B28" s="7">
        <f>B27*'Main (All in One)'!B9*(1+'Main (All in One)'!B10+'Main (All in One)'!B11)</f>
        <v/>
      </c>
    </row>
    <row r="29">
      <c r="A29" s="3" t="inlineStr">
        <is>
          <t>Tax Already Paid</t>
        </is>
      </c>
      <c r="B29" s="7">
        <f>'Main (All in One)'!B13</f>
        <v/>
      </c>
    </row>
    <row r="30">
      <c r="A30" s="3" t="inlineStr">
        <is>
          <t>Net Payable</t>
        </is>
      </c>
      <c r="B30" s="7">
        <f>MAX(B28-B29,0)</f>
        <v/>
      </c>
    </row>
    <row r="31">
      <c r="A31" s="3" t="inlineStr">
        <is>
          <t>Expected Owner Monthly Payment</t>
        </is>
      </c>
      <c r="B31" s="7">
        <f>IF(COUNTIF('Current Year Data'!G2:G13,"Pending")&gt;0,B30/COUNTIF('Current Year Data'!G2:G13,"Pending"),0)</f>
        <v/>
      </c>
    </row>
    <row r="32">
      <c r="A32" s="3" t="inlineStr">
        <is>
          <t>Q1 Tax Estimate</t>
        </is>
      </c>
      <c r="B32" s="7">
        <f>SUM(I11:I13)*'Main (All in One)'!B9*(1+'Main (All in One)'!B10+'Main (All in One)'!B11)</f>
        <v/>
      </c>
    </row>
    <row r="33">
      <c r="A33" s="3" t="inlineStr">
        <is>
          <t>Q2 Tax Estimate</t>
        </is>
      </c>
      <c r="B33" s="7">
        <f>SUM(I14:I16)*'Main (All in One)'!B9*(1+'Main (All in One)'!B10+'Main (All in One)'!B11)</f>
        <v/>
      </c>
    </row>
    <row r="34">
      <c r="A34" s="3" t="inlineStr">
        <is>
          <t>Q3 Tax Estimate</t>
        </is>
      </c>
      <c r="B34" s="7">
        <f>SUM(I17:I19)*'Main (All in One)'!B9*(1+'Main (All in One)'!B10+'Main (All in One)'!B11)</f>
        <v/>
      </c>
    </row>
    <row r="35">
      <c r="A35" s="3" t="inlineStr">
        <is>
          <t>Q4 Tax Estimate</t>
        </is>
      </c>
      <c r="B35" s="7">
        <f>SUM(I20:I22)*'Main (All in One)'!B9*(1+'Main (All in One)'!B10+'Main (All in One)'!B11)</f>
        <v/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1">
    <mergeCell ref="A3:D3"/>
  </mergeCells>
  <conditionalFormatting sqref="I11:I22">
    <cfRule type="cellIs" priority="1" operator="lessThan" dxfId="0">
      <formula>0</formula>
    </cfRule>
  </conditionalFormatting>
  <dataValidations count="1">
    <dataValidation sqref="B4" showDropDown="0" showInputMessage="0" showErrorMessage="0" allowBlank="0" type="list">
      <formula1>"Base,Best,Worst"</formula1>
    </dataValidation>
  </dataValidation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2026-04-22T10:19:58Z</dcterms:created>
  <dcterms:modified xsi:type="dcterms:W3CDTF">2026-04-22T10:19:58Z</dcterms:modified>
</cp:coreProperties>
</file>